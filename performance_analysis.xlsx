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ocuments\"/>
    </mc:Choice>
  </mc:AlternateContent>
  <xr:revisionPtr revIDLastSave="0" documentId="13_ncr:1_{D40C5E2A-8F67-4BC5-93F0-C82D9E214CC3}" xr6:coauthVersionLast="47" xr6:coauthVersionMax="47" xr10:uidLastSave="{00000000-0000-0000-0000-000000000000}"/>
  <bookViews>
    <workbookView xWindow="-108" yWindow="-108" windowWidth="23256" windowHeight="12456" xr2:uid="{CC008840-46FF-404B-842F-0DDF410EC872}"/>
  </bookViews>
  <sheets>
    <sheet name="EXP-1" sheetId="1" r:id="rId1"/>
    <sheet name="EXP-2" sheetId="2" r:id="rId2"/>
    <sheet name="EXP-3" sheetId="4" r:id="rId3"/>
    <sheet name="EXP-4" sheetId="5" r:id="rId4"/>
    <sheet name="EXP-5" sheetId="6" r:id="rId5"/>
    <sheet name="Amdahl" sheetId="7" r:id="rId6"/>
  </sheets>
  <externalReferences>
    <externalReference r:id="rId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7" l="1"/>
  <c r="C5" i="7"/>
  <c r="C6" i="7"/>
  <c r="C7" i="7"/>
  <c r="B4" i="7"/>
  <c r="F9" i="4"/>
  <c r="F8" i="4"/>
  <c r="F7" i="4"/>
  <c r="F6" i="4"/>
  <c r="F5" i="4"/>
  <c r="F4" i="4"/>
  <c r="C7" i="6"/>
  <c r="D7" i="6" s="1"/>
  <c r="C6" i="6"/>
  <c r="D6" i="6" s="1"/>
  <c r="C5" i="6"/>
  <c r="D5" i="6" s="1"/>
  <c r="C4" i="6"/>
  <c r="D4" i="6" s="1"/>
  <c r="D6" i="5"/>
  <c r="D5" i="5"/>
  <c r="D4" i="5"/>
  <c r="F10" i="4"/>
  <c r="C10" i="4"/>
  <c r="B10" i="4"/>
  <c r="D10" i="4" s="1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E2" i="1"/>
  <c r="B8" i="1"/>
  <c r="D5" i="2"/>
  <c r="E5" i="2" s="1"/>
  <c r="D6" i="2"/>
  <c r="E6" i="2" s="1"/>
  <c r="D4" i="2"/>
  <c r="E4" i="2" s="1"/>
  <c r="C8" i="1"/>
  <c r="F7" i="1"/>
  <c r="D7" i="1"/>
  <c r="E7" i="1" s="1"/>
  <c r="F6" i="1"/>
  <c r="D6" i="1"/>
  <c r="E6" i="1" s="1"/>
  <c r="F5" i="1"/>
  <c r="D5" i="1"/>
  <c r="E5" i="1" s="1"/>
  <c r="F4" i="1"/>
  <c r="D4" i="1"/>
  <c r="E4" i="1" s="1"/>
  <c r="F3" i="1"/>
  <c r="D3" i="1"/>
  <c r="E3" i="1" s="1"/>
  <c r="F2" i="1"/>
  <c r="D2" i="1"/>
  <c r="D8" i="1" l="1"/>
  <c r="E8" i="1" s="1"/>
  <c r="F8" i="1"/>
</calcChain>
</file>

<file path=xl/sharedStrings.xml><?xml version="1.0" encoding="utf-8"?>
<sst xmlns="http://schemas.openxmlformats.org/spreadsheetml/2006/main" count="48" uniqueCount="33">
  <si>
    <t>Task</t>
  </si>
  <si>
    <t>Sequential Time (ms)</t>
  </si>
  <si>
    <t>MPI 4-Node Time (ms)</t>
  </si>
  <si>
    <t>Speedup (S = Tseq/Tpar)</t>
  </si>
  <si>
    <t>Efficiency (%) (S/4*100)</t>
  </si>
  <si>
    <t>Overhead (ms) (4*Tpar - Tseq)</t>
  </si>
  <si>
    <t>Basic Statistics</t>
  </si>
  <si>
    <t>Histogram Generation</t>
  </si>
  <si>
    <t>Sorting</t>
  </si>
  <si>
    <t>Pearson Correlation</t>
  </si>
  <si>
    <t>Moving Average</t>
  </si>
  <si>
    <t>Outlier Detection</t>
  </si>
  <si>
    <t>TOTAL</t>
  </si>
  <si>
    <t>Dataset Size (points)</t>
  </si>
  <si>
    <t>Sequential Total Time (ms)</t>
  </si>
  <si>
    <t>MPI 4-Node Total Time (ms)</t>
  </si>
  <si>
    <t>Speedup (S)</t>
  </si>
  <si>
    <t>Efficiency (%)</t>
  </si>
  <si>
    <t>Total Time (ms)</t>
  </si>
  <si>
    <t>Total_Time</t>
  </si>
  <si>
    <t>Computation_Time(s)</t>
  </si>
  <si>
    <t>Communication_Time(s)</t>
  </si>
  <si>
    <t>Nodes (P)</t>
  </si>
  <si>
    <t>Speedup (S = T1/TP)</t>
  </si>
  <si>
    <t>Efficiency (%) (S/P*100)</t>
  </si>
  <si>
    <t>Notes</t>
  </si>
  <si>
    <t>Sequential baseline (T1)</t>
  </si>
  <si>
    <t>MPI, 2 nodes</t>
  </si>
  <si>
    <t>MPI, 3 nodes</t>
  </si>
  <si>
    <t>MPI, 4 nodes</t>
  </si>
  <si>
    <t>Amdahl Theoretical Speedup (S_max)</t>
  </si>
  <si>
    <t>Actual Speedup (from EXP-5)</t>
  </si>
  <si>
    <t>% of Total (MPI)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</si>
</sst>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color theme="1"/>
      <name val="Arial"/>
      <family val="2"/>
    </font>
    <font>
      <sz val="11"/>
      <color theme="1" tint="4.9989318521683403E-2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9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3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/>
    <xf numFmtId="2" fontId="5" fillId="0" borderId="1" xfId="0" applyNumberFormat="1" applyFont="1" applyBorder="1"/>
    <xf numFmtId="3" fontId="3" fillId="0" borderId="1" xfId="0" applyNumberFormat="1" applyFont="1" applyBorder="1"/>
    <xf numFmtId="10" fontId="6" fillId="0" borderId="0" xfId="0" applyNumberFormat="1" applyFont="1"/>
    <xf numFmtId="10" fontId="7" fillId="0" borderId="0" xfId="0" applyNumberFormat="1" applyFont="1"/>
    <xf numFmtId="10" fontId="8" fillId="0" borderId="0" xfId="0" applyNumberFormat="1" applyFont="1"/>
    <xf numFmtId="0" fontId="9" fillId="2" borderId="1" xfId="0" applyFont="1" applyFill="1" applyBorder="1" applyAlignment="1">
      <alignment horizontal="center" vertical="center" wrapText="1"/>
    </xf>
    <xf numFmtId="2" fontId="10" fillId="0" borderId="1" xfId="0" applyNumberFormat="1" applyFont="1" applyBorder="1"/>
    <xf numFmtId="2" fontId="11" fillId="0" borderId="1" xfId="0" applyNumberFormat="1" applyFont="1" applyBorder="1"/>
    <xf numFmtId="0" fontId="10" fillId="0" borderId="1" xfId="0" applyFont="1" applyBorder="1"/>
    <xf numFmtId="0" fontId="12" fillId="0" borderId="1" xfId="0" applyFont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Speedup (S) VS Dataset Size (4 Nodes</a:t>
            </a:r>
            <a:r>
              <a:rPr lang="en-MY">
                <a:solidFill>
                  <a:schemeClr val="tx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'EXP-2'!$D$3</c:f>
              <c:strCache>
                <c:ptCount val="1"/>
                <c:pt idx="0">
                  <c:v>Speedup (S)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"/>
              <c:pt idx="0">
                <c:v>1000000</c:v>
              </c:pt>
              <c:pt idx="1">
                <c:v>10000000</c:v>
              </c:pt>
              <c:pt idx="2">
                <c:v>100000000</c:v>
              </c:pt>
            </c:numLit>
          </c:cat>
          <c:val>
            <c:numRef>
              <c:f>'EXP-2'!$D$4:$D$6</c:f>
              <c:numCache>
                <c:formatCode>0.00</c:formatCode>
                <c:ptCount val="3"/>
                <c:pt idx="0">
                  <c:v>0.1611712331792767</c:v>
                </c:pt>
                <c:pt idx="1">
                  <c:v>0.23247291010722787</c:v>
                </c:pt>
                <c:pt idx="2">
                  <c:v>0.28004974168119429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9-4D67-9C0D-F88BBBEE2B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25456911"/>
        <c:axId val="1887264975"/>
      </c:lineChart>
      <c:catAx>
        <c:axId val="202545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>
                    <a:solidFill>
                      <a:schemeClr val="tx1"/>
                    </a:solidFill>
                  </a:rPr>
                  <a:t>Dataset</a:t>
                </a:r>
                <a:r>
                  <a:rPr lang="en-MY" baseline="0">
                    <a:solidFill>
                      <a:schemeClr val="tx1"/>
                    </a:solidFill>
                  </a:rPr>
                  <a:t> Size</a:t>
                </a:r>
                <a:endParaRPr lang="en-MY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264975"/>
        <c:crosses val="autoZero"/>
        <c:auto val="1"/>
        <c:lblAlgn val="ctr"/>
        <c:lblOffset val="100"/>
        <c:noMultiLvlLbl val="0"/>
      </c:catAx>
      <c:valAx>
        <c:axId val="188726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Speedup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5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000" b="1" i="0" u="none" strike="noStrike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Per-Task Time Breakdown for Medium Dataset (10M Dataset) </a:t>
            </a:r>
            <a:endParaRPr lang="en-MY" sz="1000" b="1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'EXP-3'!$A$4</c:f>
              <c:strCache>
                <c:ptCount val="1"/>
                <c:pt idx="0">
                  <c:v>Basic Statistics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'EXP-3'!$B$3:$C$3</c15:sqref>
                  </c15:fullRef>
                </c:ext>
              </c:extLst>
              <c:f>'EXP-3'!$C$3</c:f>
              <c:strCache>
                <c:ptCount val="1"/>
                <c:pt idx="0">
                  <c:v>MPI 4-Node Time (ms)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'EXP-3'!$B$4:$C$4</c15:sqref>
                  </c15:fullRef>
                </c:ext>
              </c:extLst>
              <c:f>'EXP-3'!$C$4</c:f>
              <c:numCache>
                <c:formatCode>0.00</c:formatCode>
                <c:ptCount val="1"/>
                <c:pt idx="0">
                  <c:v>263.71100000000001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3-4CF9-8AB6-7BBAC9054048}"/>
            </c:ext>
          </c:extLst>
        </c:ser>
        <c:ser>
          <c:idx val="1"/>
          <c:order val="1"/>
          <c:tx>
            <c:strRef>
              <c:f>'EXP-3'!$A$5</c:f>
              <c:strCache>
                <c:ptCount val="1"/>
                <c:pt idx="0">
                  <c:v>Histogram Generation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'EXP-3'!$B$3:$C$3</c15:sqref>
                  </c15:fullRef>
                </c:ext>
              </c:extLst>
              <c:f>'EXP-3'!$C$3</c:f>
              <c:strCache>
                <c:ptCount val="1"/>
                <c:pt idx="0">
                  <c:v>MPI 4-Node Time (ms)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'EXP-3'!$B$5:$C$5</c15:sqref>
                  </c15:fullRef>
                </c:ext>
              </c:extLst>
              <c:f>'EXP-3'!$C$5</c:f>
              <c:numCache>
                <c:formatCode>0.00</c:formatCode>
                <c:ptCount val="1"/>
                <c:pt idx="0">
                  <c:v>122.517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3-4CF9-8AB6-7BBAC9054048}"/>
            </c:ext>
          </c:extLst>
        </c:ser>
        <c:ser>
          <c:idx val="2"/>
          <c:order val="2"/>
          <c:tx>
            <c:strRef>
              <c:f>'EXP-3'!$A$6</c:f>
              <c:strCache>
                <c:ptCount val="1"/>
                <c:pt idx="0">
                  <c:v>Sorting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'EXP-3'!$B$3:$C$3</c15:sqref>
                  </c15:fullRef>
                </c:ext>
              </c:extLst>
              <c:f>'EXP-3'!$C$3</c:f>
              <c:strCache>
                <c:ptCount val="1"/>
                <c:pt idx="0">
                  <c:v>MPI 4-Node Time (ms)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'EXP-3'!$B$6:$C$6</c15:sqref>
                  </c15:fullRef>
                </c:ext>
              </c:extLst>
              <c:f>'EXP-3'!$C$6</c:f>
              <c:numCache>
                <c:formatCode>0.00</c:formatCode>
                <c:ptCount val="1"/>
                <c:pt idx="0">
                  <c:v>10772.007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3-4CF9-8AB6-7BBAC9054048}"/>
            </c:ext>
          </c:extLst>
        </c:ser>
        <c:ser>
          <c:idx val="3"/>
          <c:order val="3"/>
          <c:tx>
            <c:strRef>
              <c:f>'EXP-3'!$A$7</c:f>
              <c:strCache>
                <c:ptCount val="1"/>
                <c:pt idx="0">
                  <c:v>Pearson Correlation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'EXP-3'!$B$3:$C$3</c15:sqref>
                  </c15:fullRef>
                </c:ext>
              </c:extLst>
              <c:f>'EXP-3'!$C$3</c:f>
              <c:strCache>
                <c:ptCount val="1"/>
                <c:pt idx="0">
                  <c:v>MPI 4-Node Time (ms)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'EXP-3'!$B$7:$C$7</c15:sqref>
                  </c15:fullRef>
                </c:ext>
              </c:extLst>
              <c:f>'EXP-3'!$C$7</c:f>
              <c:numCache>
                <c:formatCode>0.00</c:formatCode>
                <c:ptCount val="1"/>
                <c:pt idx="0">
                  <c:v>47.88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3-4CF9-8AB6-7BBAC9054048}"/>
            </c:ext>
          </c:extLst>
        </c:ser>
        <c:ser>
          <c:idx val="4"/>
          <c:order val="4"/>
          <c:tx>
            <c:strRef>
              <c:f>'EXP-3'!$A$8</c:f>
              <c:strCache>
                <c:ptCount val="1"/>
                <c:pt idx="0">
                  <c:v>Moving Average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'EXP-3'!$B$3:$C$3</c15:sqref>
                  </c15:fullRef>
                </c:ext>
              </c:extLst>
              <c:f>'EXP-3'!$C$3</c:f>
              <c:strCache>
                <c:ptCount val="1"/>
                <c:pt idx="0">
                  <c:v>MPI 4-Node Time (ms)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'EXP-3'!$B$8:$C$8</c15:sqref>
                  </c15:fullRef>
                </c:ext>
              </c:extLst>
              <c:f>'EXP-3'!$C$8</c:f>
              <c:numCache>
                <c:formatCode>0.00</c:formatCode>
                <c:ptCount val="1"/>
                <c:pt idx="0">
                  <c:v>8560.4979999999996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63-4CF9-8AB6-7BBAC9054048}"/>
            </c:ext>
          </c:extLst>
        </c:ser>
        <c:ser>
          <c:idx val="5"/>
          <c:order val="5"/>
          <c:tx>
            <c:strRef>
              <c:f>'EXP-3'!$A$9</c:f>
              <c:strCache>
                <c:ptCount val="1"/>
                <c:pt idx="0">
                  <c:v>Outlier Detection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'EXP-3'!$B$3:$C$3</c15:sqref>
                  </c15:fullRef>
                </c:ext>
              </c:extLst>
              <c:f>'EXP-3'!$C$3</c:f>
              <c:strCache>
                <c:ptCount val="1"/>
                <c:pt idx="0">
                  <c:v>MPI 4-Node Time (ms)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'EXP-3'!$B$9:$C$9</c15:sqref>
                  </c15:fullRef>
                </c:ext>
              </c:extLst>
              <c:f>'EXP-3'!$C$9</c:f>
              <c:numCache>
                <c:formatCode>0.00</c:formatCode>
                <c:ptCount val="1"/>
                <c:pt idx="0">
                  <c:v>26.747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63-4CF9-8AB6-7BBAC9054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89241344"/>
        <c:axId val="988102352"/>
      </c:barChart>
      <c:catAx>
        <c:axId val="98924134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aseline="0">
                    <a:solidFill>
                      <a:schemeClr val="tx1"/>
                    </a:solidFill>
                  </a:rPr>
                  <a:t>MPI 4-Node Task</a:t>
                </a:r>
                <a:endParaRPr lang="en-MY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crossAx val="988102352"/>
        <c:crosses val="autoZero"/>
        <c:auto val="1"/>
        <c:lblAlgn val="ctr"/>
        <c:lblOffset val="100"/>
        <c:noMultiLvlLbl val="0"/>
      </c:catAx>
      <c:valAx>
        <c:axId val="9881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Execution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2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Parallel Efficiency For Each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'EXP-3'!$E$3</c:f>
              <c:strCache>
                <c:ptCount val="1"/>
                <c:pt idx="0">
                  <c:v>Efficiency (%) (S/4*100)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'EXP-3'!$A$4:$A$9</c:f>
              <c:strCache>
                <c:ptCount val="6"/>
                <c:pt idx="0">
                  <c:v>Basic Statistics</c:v>
                </c:pt>
                <c:pt idx="1">
                  <c:v>Histogram Generation</c:v>
                </c:pt>
                <c:pt idx="2">
                  <c:v>Sorting</c:v>
                </c:pt>
                <c:pt idx="3">
                  <c:v>Pearson Correlation</c:v>
                </c:pt>
                <c:pt idx="4">
                  <c:v>Moving Average</c:v>
                </c:pt>
                <c:pt idx="5">
                  <c:v>Outlier Detection</c:v>
                </c:pt>
              </c:strCache>
            </c:strRef>
          </c:cat>
          <c:val>
            <c:numRef>
              <c:f>'EXP-3'!$E$4:$E$9</c:f>
              <c:numCache>
                <c:formatCode>0.00</c:formatCode>
                <c:ptCount val="6"/>
                <c:pt idx="0">
                  <c:v>12.406573863054632</c:v>
                </c:pt>
                <c:pt idx="1">
                  <c:v>21.39478602969384</c:v>
                </c:pt>
                <c:pt idx="2">
                  <c:v>9.3160076854758813</c:v>
                </c:pt>
                <c:pt idx="3">
                  <c:v>82.262426900584799</c:v>
                </c:pt>
                <c:pt idx="4">
                  <c:v>0.35568316235807779</c:v>
                </c:pt>
                <c:pt idx="5">
                  <c:v>67.557109208509374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E-41AC-948B-FC196FBB7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260832"/>
        <c:axId val="988059632"/>
      </c:barChart>
      <c:catAx>
        <c:axId val="98926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MPI 4-Node 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59632"/>
        <c:crosses val="autoZero"/>
        <c:auto val="1"/>
        <c:lblAlgn val="ctr"/>
        <c:lblOffset val="100"/>
        <c:noMultiLvlLbl val="0"/>
      </c:catAx>
      <c:valAx>
        <c:axId val="9880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26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MY" sz="1200" b="1" i="1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Amdahl's Law – Theoretical vs Actual Speedup (10M Dataset)</a:t>
            </a:r>
            <a:endParaRPr lang="en-MY" sz="12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Amdahl!$B$3</c:f>
              <c:strCache>
                <c:ptCount val="1"/>
                <c:pt idx="0">
                  <c:v>Amdahl Theoretical Speedup (S_max)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Amdahl!$B$4:$B$7</c:f>
              <c:numCache>
                <c:formatCode>0.00</c:formatCode>
                <c:ptCount val="4"/>
                <c:pt idx="0">
                  <c:v>1</c:v>
                </c:pt>
                <c:pt idx="1">
                  <c:v>0.31240000000000001</c:v>
                </c:pt>
                <c:pt idx="2">
                  <c:v>0.25409999999999999</c:v>
                </c:pt>
                <c:pt idx="3">
                  <c:v>0.23250000000000001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05-411D-972D-E21D0E8DB1C2}"/>
            </c:ext>
          </c:extLst>
        </c:ser>
        <c:ser>
          <c:idx val="2"/>
          <c:order val="2"/>
          <c:tx>
            <c:strRef>
              <c:f>Amdahl!$C$3</c:f>
              <c:strCache>
                <c:ptCount val="1"/>
                <c:pt idx="0">
                  <c:v>Actual Speedup (from EXP-5)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Amdahl!$C$4:$C$7</c:f>
              <c:numCache>
                <c:formatCode>0.00</c:formatCode>
                <c:ptCount val="4"/>
                <c:pt idx="0">
                  <c:v>1</c:v>
                </c:pt>
                <c:pt idx="1">
                  <c:v>0.31405022415905465</c:v>
                </c:pt>
                <c:pt idx="2">
                  <c:v>0.26572742228131352</c:v>
                </c:pt>
                <c:pt idx="3">
                  <c:v>0.23247311219520081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05-411D-972D-E21D0E8D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517695"/>
        <c:axId val="18873734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Amdahl!$A$3</c15:sqref>
                        </c15:formulaRef>
                      </c:ext>
                    </c:extLst>
                    <c:strCache>
                      <c:ptCount val="1"/>
                      <c:pt idx="0">
                        <c:v>Nodes (P)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Amdahl!$A$4:$A$7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705-411D-972D-E21D0E8DB1C2}"/>
                  </c:ext>
                </c:extLst>
              </c15:ser>
            </c15:filteredLineSeries>
          </c:ext>
        </c:extLst>
      </c:lineChart>
      <c:catAx>
        <c:axId val="202551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73455"/>
        <c:crosses val="autoZero"/>
        <c:auto val="1"/>
        <c:lblAlgn val="ctr"/>
        <c:lblOffset val="100"/>
        <c:noMultiLvlLbl val="0"/>
      </c:catAx>
      <c:valAx>
        <c:axId val="18873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1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342612</xdr:colOff>
      <xdr:row>2</xdr:row>
      <xdr:rowOff>7045</xdr:rowOff>
    </xdr:from>
    <xdr:to>
      <xdr:col>15</xdr:col>
      <xdr:colOff>380712</xdr:colOff>
      <xdr:row>17</xdr:row>
      <xdr:rowOff>32709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E95E82-49E0-871F-083B-B5584F05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23461" y="891253"/>
          <a:ext cx="5537440" cy="2721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2</xdr:row>
      <xdr:rowOff>415290</xdr:rowOff>
    </xdr:from>
    <xdr:to>
      <xdr:col>14</xdr:col>
      <xdr:colOff>434340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FF7F5-E6A8-56F8-666F-A229AA649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</xdr:colOff>
      <xdr:row>2</xdr:row>
      <xdr:rowOff>514350</xdr:rowOff>
    </xdr:from>
    <xdr:to>
      <xdr:col>19</xdr:col>
      <xdr:colOff>220980</xdr:colOff>
      <xdr:row>20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AF8AD-BEC3-C7A6-2C87-9EB3C44B4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586740</xdr:colOff>
      <xdr:row>15</xdr:row>
      <xdr:rowOff>49530</xdr:rowOff>
    </xdr:from>
    <xdr:to>
      <xdr:col>7</xdr:col>
      <xdr:colOff>99060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9A8EB0-DFC4-BDC9-BEC0-85208DD27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2</xdr:row>
      <xdr:rowOff>544830</xdr:rowOff>
    </xdr:from>
    <xdr:to>
      <xdr:col>13</xdr:col>
      <xdr:colOff>327660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0C77D-DA9E-2216-0F95-4EF51FE29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ster580/CSC580_Performance_Analysis_DUMMY.xlsx" TargetMode="External"/><Relationship Id="rId2" Type="http://schemas.openxmlformats.org/officeDocument/2006/relationships/externalLinkPath" Target="file:///C:\Users\VICTUS\Downloads\tester580\CSC580_Performance_Analysis_DUMMY.xlsx" TargetMode="External"/><Relationship Id="rId1" Type="http://schemas.openxmlformats.org/officeDocument/2006/relationships/externalLinkPath" Target="/Users/VICTUS/Downloads/tester580/CSC580_Performance_Analysis_DUMM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EXP1_Baseline"/>
      <sheetName val="EXP2_Scalability"/>
      <sheetName val="EXP3_TaskBreakdown"/>
      <sheetName val="EXP4_CommOverhead"/>
      <sheetName val="EXP5_NodeScalability"/>
      <sheetName val="Amdahl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B5C6-41E1-4581-95D4-2DA21185AE05}">
  <dimension ref="A1:F8"/>
  <sheetViews>
    <sheetView tabSelected="1" zoomScale="106" workbookViewId="0">
      <selection activeCell="I1" sqref="I1"/>
    </sheetView>
  </sheetViews>
  <sheetFormatPr defaultRowHeight="14.4" x14ac:dyDescent="0.3"/>
  <cols>
    <col min="1" max="1" width="21.109375" customWidth="1"/>
    <col min="2" max="2" width="18.88671875" customWidth="1"/>
    <col min="3" max="3" width="17.44140625" customWidth="1"/>
    <col min="4" max="4" width="18.5546875" customWidth="1"/>
    <col min="5" max="5" width="14.6640625" customWidth="1"/>
    <col min="6" max="6" width="12.6640625" customWidth="1"/>
  </cols>
  <sheetData>
    <row r="1" spans="1: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130.87</v>
      </c>
      <c r="C2" s="3">
        <v>263.71100000000001</v>
      </c>
      <c r="D2" s="4">
        <f t="shared" ref="D2:D8" si="0">B2/C2</f>
        <v>0.49626295452218527</v>
      </c>
      <c r="E2" s="4">
        <f t="shared" ref="E2:E8" si="1">(D2/4)*100</f>
        <v>12.406573863054632</v>
      </c>
      <c r="F2" s="4">
        <f t="shared" ref="F2:F8" si="2">4*C2-B2</f>
        <v>923.97400000000005</v>
      </c>
    </row>
    <row r="3" spans="1:6" x14ac:dyDescent="0.3">
      <c r="A3" s="2" t="s">
        <v>7</v>
      </c>
      <c r="B3" s="3">
        <v>104.849</v>
      </c>
      <c r="C3" s="3">
        <v>122.517</v>
      </c>
      <c r="D3" s="4">
        <f t="shared" si="0"/>
        <v>0.85579144118775363</v>
      </c>
      <c r="E3" s="4">
        <f t="shared" si="1"/>
        <v>21.39478602969384</v>
      </c>
      <c r="F3" s="4">
        <f t="shared" si="2"/>
        <v>385.21899999999999</v>
      </c>
    </row>
    <row r="4" spans="1:6" x14ac:dyDescent="0.3">
      <c r="A4" s="2" t="s">
        <v>8</v>
      </c>
      <c r="B4" s="3">
        <v>4014.0839999999998</v>
      </c>
      <c r="C4" s="3">
        <v>10772.007</v>
      </c>
      <c r="D4" s="4">
        <f t="shared" si="0"/>
        <v>0.37264030741903525</v>
      </c>
      <c r="E4" s="4">
        <f t="shared" si="1"/>
        <v>9.3160076854758813</v>
      </c>
      <c r="F4" s="4">
        <f t="shared" si="2"/>
        <v>39073.943999999996</v>
      </c>
    </row>
    <row r="5" spans="1:6" x14ac:dyDescent="0.3">
      <c r="A5" s="2" t="s">
        <v>9</v>
      </c>
      <c r="B5" s="3">
        <v>157.54900000000001</v>
      </c>
      <c r="C5" s="3">
        <v>47.88</v>
      </c>
      <c r="D5" s="4">
        <f t="shared" si="0"/>
        <v>3.2904970760233918</v>
      </c>
      <c r="E5" s="4">
        <f t="shared" si="1"/>
        <v>82.262426900584799</v>
      </c>
      <c r="F5" s="4">
        <f t="shared" si="2"/>
        <v>33.971000000000004</v>
      </c>
    </row>
    <row r="6" spans="1:6" x14ac:dyDescent="0.3">
      <c r="A6" s="2" t="s">
        <v>10</v>
      </c>
      <c r="B6" s="3">
        <v>121.79300000000001</v>
      </c>
      <c r="C6" s="3">
        <v>8560.4979999999996</v>
      </c>
      <c r="D6" s="4">
        <f t="shared" si="0"/>
        <v>1.4227326494323112E-2</v>
      </c>
      <c r="E6" s="4">
        <f t="shared" si="1"/>
        <v>0.35568316235807779</v>
      </c>
      <c r="F6" s="4">
        <f t="shared" si="2"/>
        <v>34120.199000000001</v>
      </c>
    </row>
    <row r="7" spans="1:6" x14ac:dyDescent="0.3">
      <c r="A7" s="2" t="s">
        <v>11</v>
      </c>
      <c r="B7" s="3">
        <v>72.278000000000006</v>
      </c>
      <c r="C7" s="3">
        <v>26.747</v>
      </c>
      <c r="D7" s="4">
        <f t="shared" si="0"/>
        <v>2.7022843683403748</v>
      </c>
      <c r="E7" s="4">
        <f t="shared" si="1"/>
        <v>67.557109208509374</v>
      </c>
      <c r="F7" s="4">
        <f t="shared" si="2"/>
        <v>34.709999999999994</v>
      </c>
    </row>
    <row r="8" spans="1:6" x14ac:dyDescent="0.3">
      <c r="A8" s="5" t="s">
        <v>12</v>
      </c>
      <c r="B8" s="6">
        <f>SUM(B2:B7)</f>
        <v>4601.4229999999998</v>
      </c>
      <c r="C8" s="6">
        <f>SUM(C2:C7)</f>
        <v>19793.359999999997</v>
      </c>
      <c r="D8" s="6">
        <f t="shared" si="0"/>
        <v>0.23247306167320761</v>
      </c>
      <c r="E8" s="6">
        <f t="shared" si="1"/>
        <v>5.8118265418301904</v>
      </c>
      <c r="F8" s="6">
        <f t="shared" si="2"/>
        <v>74572.016999999993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1FC9-4C7A-4CA2-A02E-C0EBC71894FF}">
  <dimension ref="A3:E6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3.5546875" customWidth="1"/>
    <col min="3" max="3" width="13.6640625" customWidth="1"/>
    <col min="4" max="4" width="12.21875" customWidth="1"/>
    <col min="5" max="5" width="14.21875" customWidth="1"/>
  </cols>
  <sheetData>
    <row r="3" spans="1:5" ht="69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5" x14ac:dyDescent="0.3">
      <c r="A4" s="7">
        <v>1000000</v>
      </c>
      <c r="B4" s="3">
        <v>426.87700000000001</v>
      </c>
      <c r="C4" s="3">
        <v>2648.5929999999998</v>
      </c>
      <c r="D4" s="4">
        <f>B4/C4</f>
        <v>0.1611712331792767</v>
      </c>
      <c r="E4" s="4">
        <f>(D4/4)*100</f>
        <v>4.0292808294819178</v>
      </c>
    </row>
    <row r="5" spans="1:5" x14ac:dyDescent="0.3">
      <c r="A5" s="7">
        <v>10000000</v>
      </c>
      <c r="B5" s="3">
        <v>4601.42</v>
      </c>
      <c r="C5" s="3">
        <v>19793.36</v>
      </c>
      <c r="D5" s="4">
        <f>B5/C5</f>
        <v>0.23247291010722787</v>
      </c>
      <c r="E5" s="4">
        <f>(D5/4)*100</f>
        <v>5.8118227526806967</v>
      </c>
    </row>
    <row r="6" spans="1:5" x14ac:dyDescent="0.3">
      <c r="A6" s="7">
        <v>100000000</v>
      </c>
      <c r="B6" s="3">
        <v>59794.398000000001</v>
      </c>
      <c r="C6" s="3">
        <v>213513.49100000001</v>
      </c>
      <c r="D6" s="4">
        <f>B6/C6</f>
        <v>0.28004974168119429</v>
      </c>
      <c r="E6" s="4">
        <f>(D6/4)*100</f>
        <v>7.0012435420298571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2AE1-6B05-4952-AA55-2FE9BF41FF98}">
  <dimension ref="A3:F10"/>
  <sheetViews>
    <sheetView topLeftCell="A7" workbookViewId="0">
      <selection activeCell="I28" sqref="I28"/>
    </sheetView>
  </sheetViews>
  <sheetFormatPr defaultRowHeight="14.4" x14ac:dyDescent="0.3"/>
  <cols>
    <col min="1" max="1" width="15.77734375" customWidth="1"/>
    <col min="2" max="2" width="14.33203125" customWidth="1"/>
    <col min="3" max="3" width="14.21875" customWidth="1"/>
    <col min="4" max="4" width="13.109375" customWidth="1"/>
    <col min="5" max="5" width="14.21875" customWidth="1"/>
    <col min="6" max="6" width="13.44140625" customWidth="1"/>
  </cols>
  <sheetData>
    <row r="3" spans="1:6" ht="41.4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1" t="s">
        <v>32</v>
      </c>
    </row>
    <row r="4" spans="1:6" x14ac:dyDescent="0.3">
      <c r="A4" s="2" t="s">
        <v>6</v>
      </c>
      <c r="B4" s="3">
        <v>130.87</v>
      </c>
      <c r="C4" s="3">
        <v>263.71100000000001</v>
      </c>
      <c r="D4" s="4">
        <f t="shared" ref="D4:D10" si="0">B4/C4</f>
        <v>0.49626295452218527</v>
      </c>
      <c r="E4" s="4">
        <f t="shared" ref="E4:E10" si="1">(D4/4)*100</f>
        <v>12.406573863054632</v>
      </c>
      <c r="F4" s="9">
        <f t="shared" ref="F4:F9" si="2">C4/$C$10</f>
        <v>1.3323205357756341E-2</v>
      </c>
    </row>
    <row r="5" spans="1:6" x14ac:dyDescent="0.3">
      <c r="A5" s="2" t="s">
        <v>7</v>
      </c>
      <c r="B5" s="3">
        <v>104.849</v>
      </c>
      <c r="C5" s="3">
        <v>122.517</v>
      </c>
      <c r="D5" s="4">
        <f t="shared" si="0"/>
        <v>0.85579144118775363</v>
      </c>
      <c r="E5" s="4">
        <f t="shared" si="1"/>
        <v>21.39478602969384</v>
      </c>
      <c r="F5" s="8">
        <f t="shared" si="2"/>
        <v>6.1898030450615767E-3</v>
      </c>
    </row>
    <row r="6" spans="1:6" x14ac:dyDescent="0.3">
      <c r="A6" s="2" t="s">
        <v>8</v>
      </c>
      <c r="B6" s="3">
        <v>4014.0839999999998</v>
      </c>
      <c r="C6" s="3">
        <v>10772.007</v>
      </c>
      <c r="D6" s="4">
        <f t="shared" si="0"/>
        <v>0.37264030741903525</v>
      </c>
      <c r="E6" s="4">
        <f t="shared" si="1"/>
        <v>9.3160076854758813</v>
      </c>
      <c r="F6" s="8">
        <f t="shared" si="2"/>
        <v>0.54422326477162042</v>
      </c>
    </row>
    <row r="7" spans="1:6" x14ac:dyDescent="0.3">
      <c r="A7" s="2" t="s">
        <v>9</v>
      </c>
      <c r="B7" s="3">
        <v>157.54900000000001</v>
      </c>
      <c r="C7" s="3">
        <v>47.88</v>
      </c>
      <c r="D7" s="4">
        <f t="shared" si="0"/>
        <v>3.2904970760233918</v>
      </c>
      <c r="E7" s="4">
        <f t="shared" si="1"/>
        <v>82.262426900584799</v>
      </c>
      <c r="F7" s="8">
        <f t="shared" si="2"/>
        <v>2.4189930360484532E-3</v>
      </c>
    </row>
    <row r="8" spans="1:6" x14ac:dyDescent="0.3">
      <c r="A8" s="2" t="s">
        <v>10</v>
      </c>
      <c r="B8" s="3">
        <v>121.79300000000001</v>
      </c>
      <c r="C8" s="3">
        <v>8560.4979999999996</v>
      </c>
      <c r="D8" s="4">
        <f t="shared" si="0"/>
        <v>1.4227326494323112E-2</v>
      </c>
      <c r="E8" s="4">
        <f t="shared" si="1"/>
        <v>0.35568316235807779</v>
      </c>
      <c r="F8" s="8">
        <f t="shared" si="2"/>
        <v>0.43249342203648095</v>
      </c>
    </row>
    <row r="9" spans="1:6" x14ac:dyDescent="0.3">
      <c r="A9" s="2" t="s">
        <v>11</v>
      </c>
      <c r="B9" s="3">
        <v>72.278000000000006</v>
      </c>
      <c r="C9" s="3">
        <v>26.747</v>
      </c>
      <c r="D9" s="4">
        <f t="shared" si="0"/>
        <v>2.7022843683403748</v>
      </c>
      <c r="E9" s="4">
        <f t="shared" si="1"/>
        <v>67.557109208509374</v>
      </c>
      <c r="F9" s="8">
        <f t="shared" si="2"/>
        <v>1.3513117530323303E-3</v>
      </c>
    </row>
    <row r="10" spans="1:6" x14ac:dyDescent="0.3">
      <c r="A10" s="5" t="s">
        <v>12</v>
      </c>
      <c r="B10" s="6">
        <f>SUM(B4:B9)</f>
        <v>4601.4229999999998</v>
      </c>
      <c r="C10" s="6">
        <f>SUM(C4:C9)</f>
        <v>19793.359999999997</v>
      </c>
      <c r="D10" s="6">
        <f t="shared" si="0"/>
        <v>0.23247306167320761</v>
      </c>
      <c r="E10" s="6">
        <f t="shared" si="1"/>
        <v>5.8118265418301904</v>
      </c>
      <c r="F10" s="10">
        <f>B10/$B$10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DA0B-2048-4D86-B334-FC06C92DFAC1}">
  <dimension ref="A3:E6"/>
  <sheetViews>
    <sheetView workbookViewId="0">
      <selection activeCell="E9" sqref="E9"/>
    </sheetView>
  </sheetViews>
  <sheetFormatPr defaultRowHeight="14.4" x14ac:dyDescent="0.3"/>
  <cols>
    <col min="1" max="1" width="23.21875" customWidth="1"/>
    <col min="2" max="2" width="24.88671875" customWidth="1"/>
    <col min="3" max="3" width="26.44140625" customWidth="1"/>
    <col min="4" max="4" width="13.6640625" customWidth="1"/>
    <col min="5" max="5" width="17.5546875" customWidth="1"/>
  </cols>
  <sheetData>
    <row r="3" spans="1:5" x14ac:dyDescent="0.3">
      <c r="A3" s="1" t="s">
        <v>13</v>
      </c>
      <c r="B3" s="11" t="s">
        <v>20</v>
      </c>
      <c r="C3" s="11" t="s">
        <v>21</v>
      </c>
      <c r="D3" s="11" t="s">
        <v>19</v>
      </c>
      <c r="E3" s="1" t="s">
        <v>17</v>
      </c>
    </row>
    <row r="4" spans="1:5" x14ac:dyDescent="0.3">
      <c r="A4" s="7">
        <v>1000000</v>
      </c>
      <c r="B4" s="3">
        <v>2.6485919999999998</v>
      </c>
      <c r="C4" s="3">
        <v>261.051962</v>
      </c>
      <c r="D4" s="4">
        <f>B4+C4</f>
        <v>263.70055400000001</v>
      </c>
      <c r="E4" s="4">
        <v>99</v>
      </c>
    </row>
    <row r="5" spans="1:5" x14ac:dyDescent="0.3">
      <c r="A5" s="7">
        <v>10000000</v>
      </c>
      <c r="B5" s="3">
        <v>19.79336</v>
      </c>
      <c r="C5" s="3">
        <v>272.70775600000002</v>
      </c>
      <c r="D5" s="4">
        <f>B5+C5</f>
        <v>292.50111600000002</v>
      </c>
      <c r="E5" s="4">
        <v>93.23</v>
      </c>
    </row>
    <row r="6" spans="1:5" x14ac:dyDescent="0.3">
      <c r="A6" s="7">
        <v>100000000</v>
      </c>
      <c r="B6" s="3">
        <v>213.51349099999999</v>
      </c>
      <c r="C6" s="3">
        <v>402.22807299999999</v>
      </c>
      <c r="D6" s="4">
        <f>B6+C6</f>
        <v>615.74156399999993</v>
      </c>
      <c r="E6" s="4">
        <v>65.319999999999993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2AD9-54C1-400E-B0E7-37DAE47D2663}">
  <dimension ref="A3:E7"/>
  <sheetViews>
    <sheetView workbookViewId="0">
      <selection activeCell="P11" sqref="P11"/>
    </sheetView>
  </sheetViews>
  <sheetFormatPr defaultRowHeight="14.4" x14ac:dyDescent="0.3"/>
  <cols>
    <col min="2" max="2" width="15.44140625" customWidth="1"/>
    <col min="3" max="3" width="17.21875" customWidth="1"/>
    <col min="4" max="4" width="14.77734375" customWidth="1"/>
    <col min="5" max="5" width="19.44140625" customWidth="1"/>
  </cols>
  <sheetData>
    <row r="3" spans="1:5" ht="55.2" x14ac:dyDescent="0.3">
      <c r="A3" s="11" t="s">
        <v>22</v>
      </c>
      <c r="B3" s="11" t="s">
        <v>18</v>
      </c>
      <c r="C3" s="11" t="s">
        <v>23</v>
      </c>
      <c r="D3" s="11" t="s">
        <v>24</v>
      </c>
      <c r="E3" s="11" t="s">
        <v>25</v>
      </c>
    </row>
    <row r="4" spans="1:5" x14ac:dyDescent="0.3">
      <c r="A4" s="14">
        <v>1</v>
      </c>
      <c r="B4" s="12">
        <v>4601.424</v>
      </c>
      <c r="C4" s="13">
        <f>$B$4/B4</f>
        <v>1</v>
      </c>
      <c r="D4" s="13">
        <f>(C4/A4)*100</f>
        <v>100</v>
      </c>
      <c r="E4" s="15" t="s">
        <v>26</v>
      </c>
    </row>
    <row r="5" spans="1:5" x14ac:dyDescent="0.3">
      <c r="A5" s="14">
        <v>2</v>
      </c>
      <c r="B5" s="12">
        <v>14651.873</v>
      </c>
      <c r="C5" s="13">
        <f>$B$4/B5</f>
        <v>0.31405022415905465</v>
      </c>
      <c r="D5" s="13">
        <f>(C5/A5)*100</f>
        <v>15.702511207952732</v>
      </c>
      <c r="E5" s="15" t="s">
        <v>27</v>
      </c>
    </row>
    <row r="6" spans="1:5" x14ac:dyDescent="0.3">
      <c r="A6" s="14">
        <v>3</v>
      </c>
      <c r="B6" s="12">
        <v>17316.330999999998</v>
      </c>
      <c r="C6" s="13">
        <f>$B$4/B6</f>
        <v>0.26572742228131352</v>
      </c>
      <c r="D6" s="13">
        <f>(C6/A6)*100</f>
        <v>8.8575807427104518</v>
      </c>
      <c r="E6" s="15" t="s">
        <v>28</v>
      </c>
    </row>
    <row r="7" spans="1:5" x14ac:dyDescent="0.3">
      <c r="A7" s="14">
        <v>4</v>
      </c>
      <c r="B7" s="12">
        <v>19793.36</v>
      </c>
      <c r="C7" s="13">
        <f>$B$4/B7</f>
        <v>0.23247311219520081</v>
      </c>
      <c r="D7" s="13">
        <f>(C7/A7)*100</f>
        <v>5.8118278048800205</v>
      </c>
      <c r="E7" s="1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774E-2312-4A97-B3E7-AE8FF29D83DA}">
  <dimension ref="A3:C7"/>
  <sheetViews>
    <sheetView workbookViewId="0">
      <selection activeCell="G3" sqref="G3"/>
    </sheetView>
  </sheetViews>
  <sheetFormatPr defaultRowHeight="14.4" x14ac:dyDescent="0.3"/>
  <cols>
    <col min="1" max="1" width="21.44140625" customWidth="1"/>
    <col min="2" max="2" width="17" customWidth="1"/>
    <col min="3" max="3" width="24" customWidth="1"/>
  </cols>
  <sheetData>
    <row r="3" spans="1:3" ht="96.6" x14ac:dyDescent="0.3">
      <c r="A3" s="11" t="s">
        <v>22</v>
      </c>
      <c r="B3" s="11" t="s">
        <v>30</v>
      </c>
      <c r="C3" s="11" t="s">
        <v>31</v>
      </c>
    </row>
    <row r="4" spans="1:3" x14ac:dyDescent="0.3">
      <c r="A4" s="16">
        <v>1</v>
      </c>
      <c r="B4" s="13">
        <f>[1]Amdahl!B6</f>
        <v>1</v>
      </c>
      <c r="C4" s="13">
        <f>'EXP-5'!C4</f>
        <v>1</v>
      </c>
    </row>
    <row r="5" spans="1:3" x14ac:dyDescent="0.3">
      <c r="A5" s="16">
        <v>2</v>
      </c>
      <c r="B5" s="13">
        <v>0.31240000000000001</v>
      </c>
      <c r="C5" s="13">
        <f>'EXP-5'!C5</f>
        <v>0.31405022415905465</v>
      </c>
    </row>
    <row r="6" spans="1:3" x14ac:dyDescent="0.3">
      <c r="A6" s="16">
        <v>3</v>
      </c>
      <c r="B6" s="13">
        <v>0.25409999999999999</v>
      </c>
      <c r="C6" s="13">
        <f>'EXP-5'!C6</f>
        <v>0.26572742228131352</v>
      </c>
    </row>
    <row r="7" spans="1:3" x14ac:dyDescent="0.3">
      <c r="A7" s="16">
        <v>4</v>
      </c>
      <c r="B7" s="13">
        <v>0.23250000000000001</v>
      </c>
      <c r="C7" s="13">
        <f>'EXP-5'!C7</f>
        <v>0.23247311219520081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EXP-1</vt:lpstr>
      <vt:lpstr>EXP-2</vt:lpstr>
      <vt:lpstr>EXP-3</vt:lpstr>
      <vt:lpstr>EXP-4</vt:lpstr>
      <vt:lpstr>EXP-5</vt:lpstr>
      <vt:lpstr>Amdahl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ABDUL AZIZ BIN NIK ZAINUDDIN</dc:creator>
  <cp:lastModifiedBy>NIK ABDUL AZIZ BIN NIK ZAINUDDIN</cp:lastModifiedBy>
  <dcterms:created xsi:type="dcterms:W3CDTF">2026-07-02T17:55:12Z</dcterms:created>
  <dcterms:modified xsi:type="dcterms:W3CDTF">2026-07-03T14:05:07Z</dcterms:modified>
</cp:coreProperties>
</file>